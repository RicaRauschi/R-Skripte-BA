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343610b178cdc7/Desktop/Uni/Bachelorarbeit/Rica Bachelorarbeit Stick/"/>
    </mc:Choice>
  </mc:AlternateContent>
  <xr:revisionPtr revIDLastSave="55" documentId="13_ncr:1_{A6151572-4503-4607-BB8F-0165502CDC62}" xr6:coauthVersionLast="47" xr6:coauthVersionMax="47" xr10:uidLastSave="{1F77DAC0-4A81-421C-91B4-FD0008966A55}"/>
  <bookViews>
    <workbookView xWindow="-110" yWindow="-110" windowWidth="19420" windowHeight="11500" xr2:uid="{D470E0FC-4853-411B-A98E-08EC476C3FC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2" i="1"/>
  <c r="S7" i="1"/>
  <c r="S6" i="1"/>
  <c r="S5" i="1"/>
  <c r="S4" i="1"/>
  <c r="S3" i="1"/>
  <c r="S2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<sst xmlns="http://schemas.openxmlformats.org/spreadsheetml/2006/main" count="45" uniqueCount="33">
  <si>
    <t>Camera_id</t>
  </si>
  <si>
    <t>start_date</t>
  </si>
  <si>
    <t>end_date</t>
  </si>
  <si>
    <t>VTK 005</t>
  </si>
  <si>
    <t>VTK 016</t>
  </si>
  <si>
    <t>VTK 036</t>
  </si>
  <si>
    <t>VTK 050</t>
  </si>
  <si>
    <t>VTK 088</t>
  </si>
  <si>
    <t>VTK 095</t>
  </si>
  <si>
    <t>VTK 005 S</t>
  </si>
  <si>
    <t>VTK 016 Pfad</t>
  </si>
  <si>
    <t>VTK 036 Pfad</t>
  </si>
  <si>
    <t>VTK 050 Pfad</t>
  </si>
  <si>
    <t>VTK 088 Pfad</t>
  </si>
  <si>
    <t>VTK 090</t>
  </si>
  <si>
    <t>VTK 095 Pfad</t>
  </si>
  <si>
    <t>Latitude</t>
  </si>
  <si>
    <t>Longitude</t>
  </si>
  <si>
    <t>Mittelwert</t>
  </si>
  <si>
    <t>Canopy_1</t>
  </si>
  <si>
    <t>Canopy_2</t>
  </si>
  <si>
    <t>Canopy_3</t>
  </si>
  <si>
    <t>Canopy_4</t>
  </si>
  <si>
    <t>Canopy_5</t>
  </si>
  <si>
    <t>Veg_1</t>
  </si>
  <si>
    <t>Veg_2</t>
  </si>
  <si>
    <t>Veg_3</t>
  </si>
  <si>
    <t>Veg_4</t>
  </si>
  <si>
    <t>camera_group</t>
  </si>
  <si>
    <t>Zufällig</t>
  </si>
  <si>
    <t>Gezielt (Trail/Hotspot)</t>
  </si>
  <si>
    <t>Anzahl Fehlausloesungen</t>
  </si>
  <si>
    <t>Kameratage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</si>
</sst>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0" xfId="0" applyNumberFormat="1"/>
    <xf numFmtId="0" fontId="0" fillId="0" borderId="4" xfId="0" applyFill="1" applyBorder="1" applyAlignment="1">
      <alignment horizontal="center" vertical="center"/>
    </xf>
    <xf numFmtId="14" fontId="0" fillId="0" borderId="5" xfId="0" applyNumberFormat="1" applyFill="1" applyBorder="1" applyAlignment="1">
      <alignment horizontal="center" vertical="center"/>
    </xf>
    <xf numFmtId="14" fontId="0" fillId="0" borderId="6" xfId="0" applyNumberFormat="1" applyFill="1" applyBorder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164" fontId="0" fillId="0" borderId="4" xfId="0" applyNumberFormat="1" applyFill="1" applyBorder="1" applyAlignment="1">
      <alignment horizontal="center" vertical="center"/>
    </xf>
    <xf numFmtId="164" fontId="0" fillId="0" borderId="6" xfId="0" applyNumberFormat="1" applyFill="1" applyBorder="1" applyAlignment="1">
      <alignment horizontal="center" vertical="center"/>
    </xf>
    <xf numFmtId="2" fontId="0" fillId="0" borderId="4" xfId="0" applyNumberFormat="1" applyFill="1" applyBorder="1" applyAlignment="1">
      <alignment horizontal="center" vertical="center"/>
    </xf>
    <xf numFmtId="2" fontId="0" fillId="0" borderId="5" xfId="0" applyNumberFormat="1" applyFill="1" applyBorder="1" applyAlignment="1">
      <alignment horizontal="center" vertical="center"/>
    </xf>
    <xf numFmtId="2" fontId="0" fillId="0" borderId="7" xfId="0" applyNumberFormat="1" applyFill="1" applyBorder="1" applyAlignment="1">
      <alignment horizontal="center" vertical="center"/>
    </xf>
    <xf numFmtId="2" fontId="0" fillId="0" borderId="6" xfId="0" applyNumberFormat="1" applyFill="1" applyBorder="1" applyAlignment="1">
      <alignment horizontal="center" vertical="center"/>
    </xf>
    <xf numFmtId="0" fontId="0" fillId="0" borderId="0" xfId="0" applyFill="1"/>
    <xf numFmtId="1" fontId="0" fillId="0" borderId="0" xfId="0" applyNumberFormat="1" applyFill="1" applyAlignment="1">
      <alignment horizont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09732-5EF8-496B-BDF4-C11526A959D2}">
  <dimension ref="A1:S14"/>
  <sheetViews>
    <sheetView tabSelected="1" workbookViewId="0">
      <selection activeCell="C15" sqref="C15"/>
    </sheetView>
  </sheetViews>
  <sheetFormatPr defaultColWidth="10.90625" defaultRowHeight="14.5" x14ac:dyDescent="0.35"/>
  <cols>
    <col min="1" max="1" width="12.81640625" customWidth="1"/>
    <col min="2" max="2" width="26.453125" customWidth="1"/>
    <col min="5" max="5" width="10.90625" style="6"/>
    <col min="6" max="6" width="18.7265625" bestFit="1" customWidth="1"/>
    <col min="7" max="7" width="14.26953125" customWidth="1"/>
    <col min="8" max="8" width="22.7265625" bestFit="1" customWidth="1"/>
    <col min="9" max="9" width="15.1796875" customWidth="1"/>
  </cols>
  <sheetData>
    <row r="1" spans="1:19" x14ac:dyDescent="0.35">
      <c r="A1" s="1" t="s">
        <v>0</v>
      </c>
      <c r="B1" s="1" t="s">
        <v>28</v>
      </c>
      <c r="C1" s="2" t="s">
        <v>1</v>
      </c>
      <c r="D1" s="3" t="s">
        <v>2</v>
      </c>
      <c r="E1" s="5" t="s">
        <v>32</v>
      </c>
      <c r="F1" s="1" t="s">
        <v>16</v>
      </c>
      <c r="G1" s="3" t="s">
        <v>17</v>
      </c>
      <c r="H1" s="4" t="s">
        <v>31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3" t="s">
        <v>18</v>
      </c>
      <c r="O1" s="2" t="s">
        <v>24</v>
      </c>
      <c r="P1" s="2" t="s">
        <v>25</v>
      </c>
      <c r="Q1" s="2" t="s">
        <v>26</v>
      </c>
      <c r="R1" s="2" t="s">
        <v>27</v>
      </c>
      <c r="S1" s="3" t="s">
        <v>18</v>
      </c>
    </row>
    <row r="2" spans="1:19" s="17" customFormat="1" x14ac:dyDescent="0.35">
      <c r="A2" s="7" t="s">
        <v>3</v>
      </c>
      <c r="B2" s="7" t="s">
        <v>29</v>
      </c>
      <c r="C2" s="8">
        <v>45883</v>
      </c>
      <c r="D2" s="9">
        <v>45985</v>
      </c>
      <c r="E2" s="10">
        <f>D2-C2+1</f>
        <v>103</v>
      </c>
      <c r="F2" s="11">
        <v>50.587394185000001</v>
      </c>
      <c r="G2" s="12">
        <v>10.809404337</v>
      </c>
      <c r="H2" s="10">
        <v>13</v>
      </c>
      <c r="I2" s="13">
        <v>0.3</v>
      </c>
      <c r="J2" s="14">
        <v>0.7</v>
      </c>
      <c r="K2" s="14">
        <v>0.55000000000000004</v>
      </c>
      <c r="L2" s="14">
        <v>0.25</v>
      </c>
      <c r="M2" s="14">
        <v>0.95</v>
      </c>
      <c r="N2" s="15">
        <f t="shared" ref="N2:N7" si="0">(I2+J2+K2+L2+M2)/5</f>
        <v>0.55000000000000004</v>
      </c>
      <c r="O2" s="13">
        <v>0.3</v>
      </c>
      <c r="P2" s="14">
        <v>0.3</v>
      </c>
      <c r="Q2" s="14">
        <v>0.25</v>
      </c>
      <c r="R2" s="14">
        <v>1</v>
      </c>
      <c r="S2" s="16">
        <f t="shared" ref="S2:S7" si="1">(O2+P2+Q2+R2)/4</f>
        <v>0.46250000000000002</v>
      </c>
    </row>
    <row r="3" spans="1:19" s="17" customFormat="1" x14ac:dyDescent="0.35">
      <c r="A3" s="7" t="s">
        <v>4</v>
      </c>
      <c r="B3" s="7" t="s">
        <v>29</v>
      </c>
      <c r="C3" s="8">
        <v>45884</v>
      </c>
      <c r="D3" s="9">
        <v>45985</v>
      </c>
      <c r="E3" s="10">
        <f t="shared" ref="E3:E14" si="2">D3-C3+1</f>
        <v>102</v>
      </c>
      <c r="F3" s="11">
        <v>50.583374425999999</v>
      </c>
      <c r="G3" s="12">
        <v>10.795486457999999</v>
      </c>
      <c r="H3" s="10">
        <v>20</v>
      </c>
      <c r="I3" s="13">
        <v>0.6</v>
      </c>
      <c r="J3" s="14">
        <v>0.5</v>
      </c>
      <c r="K3" s="14">
        <v>0.75</v>
      </c>
      <c r="L3" s="14">
        <v>0.65</v>
      </c>
      <c r="M3" s="14">
        <v>0.7</v>
      </c>
      <c r="N3" s="14">
        <f t="shared" si="0"/>
        <v>0.64</v>
      </c>
      <c r="O3" s="13">
        <v>0.2</v>
      </c>
      <c r="P3" s="14">
        <v>0.45</v>
      </c>
      <c r="Q3" s="14">
        <v>0.7</v>
      </c>
      <c r="R3" s="14">
        <v>0.25</v>
      </c>
      <c r="S3" s="16">
        <f t="shared" si="1"/>
        <v>0.4</v>
      </c>
    </row>
    <row r="4" spans="1:19" s="17" customFormat="1" x14ac:dyDescent="0.35">
      <c r="A4" s="7" t="s">
        <v>5</v>
      </c>
      <c r="B4" s="7" t="s">
        <v>29</v>
      </c>
      <c r="C4" s="8">
        <v>45884</v>
      </c>
      <c r="D4" s="9">
        <v>45988</v>
      </c>
      <c r="E4" s="10">
        <f t="shared" si="2"/>
        <v>105</v>
      </c>
      <c r="F4" s="11">
        <v>50.578197142</v>
      </c>
      <c r="G4" s="12">
        <v>10.798486436999999</v>
      </c>
      <c r="H4" s="10">
        <v>25</v>
      </c>
      <c r="I4" s="13">
        <v>0.55000000000000004</v>
      </c>
      <c r="J4" s="14">
        <v>0.6</v>
      </c>
      <c r="K4" s="14">
        <v>0.65</v>
      </c>
      <c r="L4" s="14">
        <v>0.7</v>
      </c>
      <c r="M4" s="14">
        <v>0.6</v>
      </c>
      <c r="N4" s="14">
        <f t="shared" si="0"/>
        <v>0.62</v>
      </c>
      <c r="O4" s="13">
        <v>0.2</v>
      </c>
      <c r="P4" s="14">
        <v>0.3</v>
      </c>
      <c r="Q4" s="14">
        <v>0.4</v>
      </c>
      <c r="R4" s="14">
        <v>0.25</v>
      </c>
      <c r="S4" s="16">
        <f t="shared" si="1"/>
        <v>0.28749999999999998</v>
      </c>
    </row>
    <row r="5" spans="1:19" s="17" customFormat="1" x14ac:dyDescent="0.35">
      <c r="A5" s="7" t="s">
        <v>6</v>
      </c>
      <c r="B5" s="7" t="s">
        <v>29</v>
      </c>
      <c r="C5" s="8">
        <v>45888</v>
      </c>
      <c r="D5" s="9">
        <v>45988</v>
      </c>
      <c r="E5" s="10">
        <f t="shared" si="2"/>
        <v>101</v>
      </c>
      <c r="F5" s="11">
        <v>50.573920108000003</v>
      </c>
      <c r="G5" s="12">
        <v>10.781838584000001</v>
      </c>
      <c r="H5" s="10">
        <v>4</v>
      </c>
      <c r="I5" s="13">
        <v>0.65</v>
      </c>
      <c r="J5" s="14">
        <v>0.6</v>
      </c>
      <c r="K5" s="14">
        <v>0.7</v>
      </c>
      <c r="L5" s="14">
        <v>0.65</v>
      </c>
      <c r="M5" s="14">
        <v>0.7</v>
      </c>
      <c r="N5" s="14">
        <f t="shared" si="0"/>
        <v>0.65999999999999992</v>
      </c>
      <c r="O5" s="13">
        <v>0.2</v>
      </c>
      <c r="P5" s="14">
        <v>0.3</v>
      </c>
      <c r="Q5" s="14">
        <v>0.15</v>
      </c>
      <c r="R5" s="14">
        <v>0.35</v>
      </c>
      <c r="S5" s="16">
        <f t="shared" si="1"/>
        <v>0.25</v>
      </c>
    </row>
    <row r="6" spans="1:19" s="17" customFormat="1" x14ac:dyDescent="0.35">
      <c r="A6" s="7" t="s">
        <v>7</v>
      </c>
      <c r="B6" s="7" t="s">
        <v>29</v>
      </c>
      <c r="C6" s="8">
        <v>45888</v>
      </c>
      <c r="D6" s="9">
        <v>45988</v>
      </c>
      <c r="E6" s="10">
        <f t="shared" si="2"/>
        <v>101</v>
      </c>
      <c r="F6" s="11">
        <v>50.571132493</v>
      </c>
      <c r="G6" s="12">
        <v>10.796076022999999</v>
      </c>
      <c r="H6" s="10">
        <v>16</v>
      </c>
      <c r="I6" s="13">
        <v>0.65</v>
      </c>
      <c r="J6" s="14">
        <v>0.55000000000000004</v>
      </c>
      <c r="K6" s="14">
        <v>0.6</v>
      </c>
      <c r="L6" s="14">
        <v>0.65</v>
      </c>
      <c r="M6" s="14">
        <v>0.6</v>
      </c>
      <c r="N6" s="14">
        <f t="shared" si="0"/>
        <v>0.6100000000000001</v>
      </c>
      <c r="O6" s="13">
        <v>0.25</v>
      </c>
      <c r="P6" s="14">
        <v>0.3</v>
      </c>
      <c r="Q6" s="14">
        <v>0.4</v>
      </c>
      <c r="R6" s="14">
        <v>0.2</v>
      </c>
      <c r="S6" s="16">
        <f t="shared" si="1"/>
        <v>0.28750000000000003</v>
      </c>
    </row>
    <row r="7" spans="1:19" s="17" customFormat="1" x14ac:dyDescent="0.35">
      <c r="A7" s="7" t="s">
        <v>8</v>
      </c>
      <c r="B7" s="7" t="s">
        <v>29</v>
      </c>
      <c r="C7" s="8">
        <v>45890</v>
      </c>
      <c r="D7" s="9">
        <v>45988</v>
      </c>
      <c r="E7" s="10">
        <f t="shared" si="2"/>
        <v>99</v>
      </c>
      <c r="F7" s="11">
        <v>50.570996821999998</v>
      </c>
      <c r="G7" s="12">
        <v>10.809746507</v>
      </c>
      <c r="H7" s="18">
        <v>23</v>
      </c>
      <c r="I7" s="13">
        <v>0.55000000000000004</v>
      </c>
      <c r="J7" s="14">
        <v>0.6</v>
      </c>
      <c r="K7" s="14">
        <v>0.65</v>
      </c>
      <c r="L7" s="14">
        <v>0.6</v>
      </c>
      <c r="M7" s="14">
        <v>0.65</v>
      </c>
      <c r="N7" s="14">
        <f t="shared" si="0"/>
        <v>0.61</v>
      </c>
      <c r="O7" s="13">
        <v>0.25</v>
      </c>
      <c r="P7" s="14">
        <v>0.3</v>
      </c>
      <c r="Q7" s="14">
        <v>0.2</v>
      </c>
      <c r="R7" s="14">
        <v>0.35</v>
      </c>
      <c r="S7" s="16">
        <f t="shared" si="1"/>
        <v>0.27500000000000002</v>
      </c>
    </row>
    <row r="8" spans="1:19" s="17" customFormat="1" x14ac:dyDescent="0.35">
      <c r="A8" s="7" t="s">
        <v>9</v>
      </c>
      <c r="B8" s="7" t="s">
        <v>30</v>
      </c>
      <c r="C8" s="8">
        <v>45895</v>
      </c>
      <c r="D8" s="9">
        <v>45985</v>
      </c>
      <c r="E8" s="10">
        <f t="shared" si="2"/>
        <v>91</v>
      </c>
      <c r="F8" s="11">
        <v>50.586557824000003</v>
      </c>
      <c r="G8" s="12">
        <v>10.810301855000001</v>
      </c>
      <c r="H8" s="10">
        <v>11</v>
      </c>
      <c r="I8" s="7"/>
      <c r="J8" s="19"/>
      <c r="K8" s="19"/>
      <c r="L8" s="19"/>
      <c r="M8" s="19"/>
      <c r="N8" s="19"/>
      <c r="O8" s="7"/>
      <c r="P8" s="19"/>
      <c r="Q8" s="19"/>
      <c r="R8" s="19"/>
      <c r="S8" s="20"/>
    </row>
    <row r="9" spans="1:19" s="17" customFormat="1" x14ac:dyDescent="0.35">
      <c r="A9" s="7" t="s">
        <v>10</v>
      </c>
      <c r="B9" s="7" t="s">
        <v>30</v>
      </c>
      <c r="C9" s="8">
        <v>45901</v>
      </c>
      <c r="D9" s="9">
        <v>45985</v>
      </c>
      <c r="E9" s="10">
        <f t="shared" si="2"/>
        <v>85</v>
      </c>
      <c r="F9" s="11">
        <v>50.583064362000002</v>
      </c>
      <c r="G9" s="12">
        <v>10.795034064999999</v>
      </c>
      <c r="H9" s="10">
        <v>21</v>
      </c>
      <c r="I9" s="7"/>
      <c r="J9" s="19"/>
      <c r="K9" s="19"/>
      <c r="L9" s="19"/>
      <c r="M9" s="19"/>
      <c r="N9" s="19"/>
      <c r="O9" s="7"/>
      <c r="P9" s="19"/>
      <c r="Q9" s="19"/>
      <c r="R9" s="19"/>
      <c r="S9" s="20"/>
    </row>
    <row r="10" spans="1:19" s="17" customFormat="1" x14ac:dyDescent="0.35">
      <c r="A10" s="7" t="s">
        <v>11</v>
      </c>
      <c r="B10" s="7" t="s">
        <v>30</v>
      </c>
      <c r="C10" s="8">
        <v>45901</v>
      </c>
      <c r="D10" s="9">
        <v>45988</v>
      </c>
      <c r="E10" s="10">
        <f t="shared" si="2"/>
        <v>88</v>
      </c>
      <c r="F10" s="11">
        <v>50.578679497000003</v>
      </c>
      <c r="G10" s="12">
        <v>10.799696821</v>
      </c>
      <c r="H10" s="10">
        <v>3</v>
      </c>
      <c r="I10" s="7"/>
      <c r="J10" s="19"/>
      <c r="K10" s="19"/>
      <c r="L10" s="19"/>
      <c r="M10" s="19"/>
      <c r="N10" s="19"/>
      <c r="O10" s="7"/>
      <c r="P10" s="19"/>
      <c r="Q10" s="19"/>
      <c r="R10" s="19"/>
      <c r="S10" s="20"/>
    </row>
    <row r="11" spans="1:19" s="17" customFormat="1" x14ac:dyDescent="0.35">
      <c r="A11" s="7" t="s">
        <v>12</v>
      </c>
      <c r="B11" s="7" t="s">
        <v>30</v>
      </c>
      <c r="C11" s="8">
        <v>45908</v>
      </c>
      <c r="D11" s="9">
        <v>45988</v>
      </c>
      <c r="E11" s="10">
        <f t="shared" si="2"/>
        <v>81</v>
      </c>
      <c r="F11" s="11">
        <v>50.575281326999999</v>
      </c>
      <c r="G11" s="12">
        <v>10.781687052000001</v>
      </c>
      <c r="H11" s="10">
        <v>10</v>
      </c>
      <c r="I11" s="7"/>
      <c r="J11" s="19"/>
      <c r="K11" s="19"/>
      <c r="L11" s="19"/>
      <c r="M11" s="19"/>
      <c r="N11" s="19"/>
      <c r="O11" s="7"/>
      <c r="P11" s="19"/>
      <c r="Q11" s="19"/>
      <c r="R11" s="19"/>
      <c r="S11" s="20"/>
    </row>
    <row r="12" spans="1:19" s="17" customFormat="1" x14ac:dyDescent="0.35">
      <c r="A12" s="7" t="s">
        <v>13</v>
      </c>
      <c r="B12" s="7" t="s">
        <v>30</v>
      </c>
      <c r="C12" s="8">
        <v>45904</v>
      </c>
      <c r="D12" s="9">
        <v>45988</v>
      </c>
      <c r="E12" s="10">
        <f t="shared" si="2"/>
        <v>85</v>
      </c>
      <c r="F12" s="11">
        <v>50.569963844999997</v>
      </c>
      <c r="G12" s="12">
        <v>10.795690436999999</v>
      </c>
      <c r="H12" s="10">
        <v>13</v>
      </c>
      <c r="I12" s="7"/>
      <c r="J12" s="19"/>
      <c r="K12" s="19"/>
      <c r="L12" s="19"/>
      <c r="M12" s="19"/>
      <c r="N12" s="19"/>
      <c r="O12" s="7"/>
      <c r="P12" s="19"/>
      <c r="Q12" s="19"/>
      <c r="R12" s="19"/>
      <c r="S12" s="20"/>
    </row>
    <row r="13" spans="1:19" s="17" customFormat="1" x14ac:dyDescent="0.35">
      <c r="A13" s="7" t="s">
        <v>14</v>
      </c>
      <c r="B13" s="7" t="s">
        <v>30</v>
      </c>
      <c r="C13" s="8">
        <v>45909</v>
      </c>
      <c r="D13" s="9">
        <v>45988</v>
      </c>
      <c r="E13" s="10">
        <f t="shared" si="2"/>
        <v>80</v>
      </c>
      <c r="F13" s="11">
        <v>50.570956668999997</v>
      </c>
      <c r="G13" s="12">
        <v>10.798749881000001</v>
      </c>
      <c r="H13" s="10">
        <v>147</v>
      </c>
      <c r="I13" s="7"/>
      <c r="J13" s="19"/>
      <c r="K13" s="19"/>
      <c r="L13" s="19"/>
      <c r="M13" s="19"/>
      <c r="N13" s="19"/>
      <c r="O13" s="7"/>
      <c r="P13" s="19"/>
      <c r="Q13" s="19"/>
      <c r="R13" s="19"/>
      <c r="S13" s="20"/>
    </row>
    <row r="14" spans="1:19" s="17" customFormat="1" x14ac:dyDescent="0.35">
      <c r="A14" s="7" t="s">
        <v>15</v>
      </c>
      <c r="B14" s="7" t="s">
        <v>30</v>
      </c>
      <c r="C14" s="8">
        <v>45908</v>
      </c>
      <c r="D14" s="9">
        <v>45988</v>
      </c>
      <c r="E14" s="10">
        <f t="shared" si="2"/>
        <v>81</v>
      </c>
      <c r="F14" s="11">
        <v>50.571407495999999</v>
      </c>
      <c r="G14" s="12">
        <v>10.811828135000001</v>
      </c>
      <c r="H14" s="10">
        <v>9</v>
      </c>
      <c r="I14" s="7"/>
      <c r="J14" s="19"/>
      <c r="K14" s="19"/>
      <c r="L14" s="19"/>
      <c r="M14" s="19"/>
      <c r="N14" s="19"/>
      <c r="O14" s="7"/>
      <c r="P14" s="19"/>
      <c r="Q14" s="19"/>
      <c r="R14" s="19"/>
      <c r="S14" s="20"/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Gudrun R.</dc:creator>
  <cp:lastModifiedBy>Rica R</cp:lastModifiedBy>
  <dcterms:created xsi:type="dcterms:W3CDTF">2025-12-15T16:16:51Z</dcterms:created>
  <dcterms:modified xsi:type="dcterms:W3CDTF">2026-05-11T06:18:15Z</dcterms:modified>
</cp:coreProperties>
</file>